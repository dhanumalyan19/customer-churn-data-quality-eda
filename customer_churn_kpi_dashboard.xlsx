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Data" sheetId="2" r:id="rId2"/>
    <sheet name="Metric Definitions" sheetId="3" r:id="rId3"/>
    <sheet name="Chart Data" sheetId="4" state="hidden" r:id="rId4"/>
  </sheets>
  <calcPr calcId="124519" fullCalcOnLoad="1"/>
</workbook>
</file>

<file path=xl/sharedStrings.xml><?xml version="1.0" encoding="utf-8"?>
<sst xmlns="http://schemas.openxmlformats.org/spreadsheetml/2006/main" count="188" uniqueCount="80">
  <si>
    <t>Customer Churn | Business KPI Dashboard</t>
  </si>
  <si>
    <t>Interactive summary based on the supplied cleaned dataset (15 records). Use the filters below; charts and KPI cards recalculate in Excel.</t>
  </si>
  <si>
    <t>FILTER</t>
  </si>
  <si>
    <t>SELECTION</t>
  </si>
  <si>
    <t>Contract type</t>
  </si>
  <si>
    <t>Tenure band</t>
  </si>
  <si>
    <t>Payment method</t>
  </si>
  <si>
    <t>All</t>
  </si>
  <si>
    <t>KPI SUMMARY</t>
  </si>
  <si>
    <t>Records</t>
  </si>
  <si>
    <t>Churn rate</t>
  </si>
  <si>
    <t>Retention rate</t>
  </si>
  <si>
    <t>Monthly revenue at risk</t>
  </si>
  <si>
    <t>Average tenure</t>
  </si>
  <si>
    <t>CHURN PATTERNS</t>
  </si>
  <si>
    <t>Churned</t>
  </si>
  <si>
    <t>Retained</t>
  </si>
  <si>
    <t>Month-to-Month</t>
  </si>
  <si>
    <t>One Year</t>
  </si>
  <si>
    <t>Two Year</t>
  </si>
  <si>
    <t>0-12 months</t>
  </si>
  <si>
    <t>13-24 months</t>
  </si>
  <si>
    <t>25+ months</t>
  </si>
  <si>
    <t>Bank Transfer</t>
  </si>
  <si>
    <t>Credit Card</t>
  </si>
  <si>
    <t>Debit Card</t>
  </si>
  <si>
    <t>UPI</t>
  </si>
  <si>
    <t>How to read this dashboard</t>
  </si>
  <si>
    <t>Use the three dropdown filters to change the KPI cards and charts. “Monthly revenue at risk” is the sum of MonthlyCharges for customers marked as churned in the selected view. This dataset has 15 records, so differences are descriptive observations—not causal conclusions or population estimates.</t>
  </si>
  <si>
    <t>Decision note</t>
  </si>
  <si>
    <t>The unfiltered view indicates a 46.7% churn rate. Churn is concentrated among month-to-month customers in this small sample; investigate the pattern with a larger dataset before taking action.</t>
  </si>
  <si>
    <t>CustomerID</t>
  </si>
  <si>
    <t>Gender</t>
  </si>
  <si>
    <t>Age</t>
  </si>
  <si>
    <t>TenureMonths</t>
  </si>
  <si>
    <t>SubscriptionType</t>
  </si>
  <si>
    <t>MonthlyCharges</t>
  </si>
  <si>
    <t>TotalCharges</t>
  </si>
  <si>
    <t>ContractType</t>
  </si>
  <si>
    <t>SupportTickets</t>
  </si>
  <si>
    <t>PaymentMethod</t>
  </si>
  <si>
    <t>Churn</t>
  </si>
  <si>
    <t>TenureBand</t>
  </si>
  <si>
    <t>CUST-1001</t>
  </si>
  <si>
    <t>Female</t>
  </si>
  <si>
    <t>Basic</t>
  </si>
  <si>
    <t>Yes</t>
  </si>
  <si>
    <t>CUST-1002</t>
  </si>
  <si>
    <t>Male</t>
  </si>
  <si>
    <t>Pro</t>
  </si>
  <si>
    <t>No</t>
  </si>
  <si>
    <t>CUST-1003</t>
  </si>
  <si>
    <t>CUST-1004</t>
  </si>
  <si>
    <t>Enterprise</t>
  </si>
  <si>
    <t>CUST-1005</t>
  </si>
  <si>
    <t>CUST-1006</t>
  </si>
  <si>
    <t>CUST-1007</t>
  </si>
  <si>
    <t>CUST-1008</t>
  </si>
  <si>
    <t>CUST-1009</t>
  </si>
  <si>
    <t>CUST-1010</t>
  </si>
  <si>
    <t>CUST-1011</t>
  </si>
  <si>
    <t>CUST-1012</t>
  </si>
  <si>
    <t>CUST-1013</t>
  </si>
  <si>
    <t>CUST-1014</t>
  </si>
  <si>
    <t>CUST-1015</t>
  </si>
  <si>
    <t>KPI Definitions and Assumptions</t>
  </si>
  <si>
    <t>Metric</t>
  </si>
  <si>
    <t>Definition used in this workbook</t>
  </si>
  <si>
    <t>Customers with Churn = Yes ÷ selected customers.</t>
  </si>
  <si>
    <t>Customers with Churn = No ÷ selected customers.</t>
  </si>
  <si>
    <t>Sum of MonthlyCharges for customers with Churn = Yes in the selected view. It is a monthly recurring-charge proxy, not a forecast of realized revenue loss.</t>
  </si>
  <si>
    <t>Average TenureMonths for selected customers.</t>
  </si>
  <si>
    <t>Tenure bands</t>
  </si>
  <si>
    <t>0-12 months, 13-24 months, and 25+ months. These are display groupings created for this dashboard.</t>
  </si>
  <si>
    <t>Filters</t>
  </si>
  <si>
    <t>Contract type, tenure band, and payment method dropdowns on the Dashboard sheet. Metrics and charts recalculate when opened in Excel.</t>
  </si>
  <si>
    <t>Scope limitation</t>
  </si>
  <si>
    <t>The source contains 15 records. Dashboard patterns are descriptive only and should not be generalized or treated as causal.</t>
  </si>
  <si>
    <t>Source</t>
  </si>
  <si>
    <t>data/customer_churn_cleaned.csv</t>
  </si>
</sst>
</file>

<file path=xl/styles.xml><?xml version="1.0" encoding="utf-8"?>
<styleSheet xmlns="http://schemas.openxmlformats.org/spreadsheetml/2006/main">
  <numFmts count="3">
    <numFmt numFmtId="164" formatCode="0.0%"/>
    <numFmt numFmtId="165" formatCode="$#,##0.00"/>
    <numFmt numFmtId="166" formatCode="0.0"/>
  </numFmts>
  <fonts count="13">
    <font>
      <sz val="11"/>
      <color theme="1"/>
      <name val="Calibri"/>
      <family val="2"/>
      <scheme val="minor"/>
    </font>
    <font>
      <b/>
      <sz val="22"/>
      <color rgb="FFFFFFFF"/>
      <name val="Calibri"/>
      <family val="2"/>
      <scheme val="minor"/>
    </font>
    <font>
      <sz val="10"/>
      <color rgb="FFD6E4F0"/>
      <name val="Calibri"/>
      <family val="2"/>
      <scheme val="minor"/>
    </font>
    <font>
      <b/>
      <sz val="9"/>
      <color rgb="FF13243A"/>
      <name val="Calibri"/>
      <family val="2"/>
      <scheme val="minor"/>
    </font>
    <font>
      <b/>
      <sz val="11"/>
      <color rgb="FF13243A"/>
      <name val="Calibri"/>
      <family val="2"/>
      <scheme val="minor"/>
    </font>
    <font>
      <sz val="10"/>
      <color rgb="FF1F2937"/>
      <name val="Calibri"/>
      <family val="2"/>
      <scheme val="minor"/>
    </font>
    <font>
      <b/>
      <sz val="9"/>
      <color rgb="FF52606D"/>
      <name val="Calibri"/>
      <family val="2"/>
      <scheme val="minor"/>
    </font>
    <font>
      <b/>
      <sz val="20"/>
      <color rgb="FF13243A"/>
      <name val="Calibri"/>
      <family val="2"/>
      <scheme val="minor"/>
    </font>
    <font>
      <b/>
      <sz val="20"/>
      <color rgb="FFB45309"/>
      <name val="Calibri"/>
      <family val="2"/>
      <scheme val="minor"/>
    </font>
    <font>
      <sz val="9"/>
      <color rgb="FF52606D"/>
      <name val="Calibri"/>
      <family val="2"/>
      <scheme val="minor"/>
    </font>
    <font>
      <b/>
      <sz val="11"/>
      <color rgb="FFFFFFFF"/>
      <name val="Calibri"/>
      <family val="2"/>
      <scheme val="minor"/>
    </font>
    <font>
      <sz val="9"/>
      <color rgb="FF1F2937"/>
      <name val="Calibri"/>
      <family val="2"/>
      <scheme val="minor"/>
    </font>
    <font>
      <b/>
      <sz val="9"/>
      <color rgb="FFFFFFFF"/>
      <name val="Calibri"/>
      <family val="2"/>
      <scheme val="minor"/>
    </font>
  </fonts>
  <fills count="6">
    <fill>
      <patternFill patternType="none"/>
    </fill>
    <fill>
      <patternFill patternType="gray125"/>
    </fill>
    <fill>
      <patternFill patternType="solid">
        <fgColor rgb="FF13243A"/>
        <bgColor indexed="64"/>
      </patternFill>
    </fill>
    <fill>
      <patternFill patternType="solid">
        <fgColor rgb="FFE8F0F8"/>
        <bgColor indexed="64"/>
      </patternFill>
    </fill>
    <fill>
      <patternFill patternType="solid">
        <fgColor rgb="FFFFFFFF"/>
        <bgColor indexed="64"/>
      </patternFill>
    </fill>
    <fill>
      <patternFill patternType="solid">
        <fgColor rgb="FF1F5FAA"/>
        <bgColor indexed="64"/>
      </patternFill>
    </fill>
  </fills>
  <borders count="6">
    <border>
      <left/>
      <right/>
      <top/>
      <bottom/>
      <diagonal/>
    </border>
    <border>
      <left/>
      <right/>
      <top/>
      <bottom style="thin">
        <color rgb="FF1F5FAA"/>
      </bottom>
      <diagonal/>
    </border>
    <border>
      <left style="thin">
        <color rgb="FF9FB3C8"/>
      </left>
      <right style="thin">
        <color rgb="FF9FB3C8"/>
      </right>
      <top style="thin">
        <color rgb="FF9FB3C8"/>
      </top>
      <bottom style="thin">
        <color rgb="FF9FB3C8"/>
      </bottom>
      <diagonal/>
    </border>
    <border>
      <left style="thin">
        <color rgb="FF13243A"/>
      </left>
      <right style="thin">
        <color rgb="FF13243A"/>
      </right>
      <top style="thin">
        <color rgb="FF13243A"/>
      </top>
      <bottom style="thin">
        <color rgb="FF13243A"/>
      </bottom>
      <diagonal/>
    </border>
    <border>
      <left style="thin">
        <color rgb="FFD8E0E8"/>
      </left>
      <right style="thin">
        <color rgb="FFD8E0E8"/>
      </right>
      <top style="thin">
        <color rgb="FFD8E0E8"/>
      </top>
      <bottom style="thin">
        <color rgb="FFD8E0E8"/>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3" borderId="0" xfId="0" applyFont="1" applyFill="1" applyAlignment="1">
      <alignment horizontal="center" vertical="center"/>
    </xf>
    <xf numFmtId="0" fontId="4" fillId="0" borderId="1" xfId="0" applyFont="1" applyBorder="1"/>
    <xf numFmtId="0" fontId="5" fillId="4" borderId="2" xfId="0" applyFont="1" applyFill="1" applyBorder="1" applyAlignment="1">
      <alignment horizontal="center" vertical="center"/>
    </xf>
    <xf numFmtId="0" fontId="6" fillId="4" borderId="0" xfId="0" applyFont="1" applyFill="1" applyAlignment="1">
      <alignment horizontal="center" vertical="center"/>
    </xf>
    <xf numFmtId="1" fontId="7" fillId="4" borderId="0" xfId="0" applyNumberFormat="1" applyFont="1" applyFill="1" applyAlignment="1">
      <alignment horizontal="center" vertical="center"/>
    </xf>
    <xf numFmtId="164" fontId="7" fillId="4" borderId="0" xfId="0" applyNumberFormat="1" applyFont="1" applyFill="1" applyAlignment="1">
      <alignment horizontal="center" vertical="center"/>
    </xf>
    <xf numFmtId="165" fontId="8" fillId="4" borderId="0" xfId="0" applyNumberFormat="1" applyFont="1" applyFill="1" applyAlignment="1">
      <alignment horizontal="center" vertical="center"/>
    </xf>
    <xf numFmtId="166" fontId="7" fillId="4" borderId="0" xfId="0" applyNumberFormat="1" applyFont="1" applyFill="1" applyAlignment="1">
      <alignment horizontal="center" vertical="center"/>
    </xf>
    <xf numFmtId="0" fontId="9" fillId="0" borderId="0" xfId="0" applyFont="1" applyAlignment="1">
      <alignment vertical="top" wrapText="1"/>
    </xf>
    <xf numFmtId="1" fontId="0" fillId="0" borderId="0" xfId="0" applyNumberFormat="1"/>
    <xf numFmtId="165" fontId="0" fillId="0" borderId="0" xfId="0" applyNumberFormat="1"/>
    <xf numFmtId="0" fontId="10" fillId="2" borderId="3" xfId="0" applyFont="1" applyFill="1" applyBorder="1" applyAlignment="1">
      <alignment horizontal="left"/>
    </xf>
    <xf numFmtId="0" fontId="11" fillId="0" borderId="4" xfId="0" applyFont="1" applyBorder="1" applyAlignment="1">
      <alignment vertical="top" wrapText="1"/>
    </xf>
    <xf numFmtId="0" fontId="6" fillId="0" borderId="0" xfId="0" applyFont="1"/>
    <xf numFmtId="0" fontId="12" fillId="5" borderId="5" xfId="0" applyFont="1" applyFill="1" applyBorder="1" applyAlignment="1">
      <alignment horizontal="center"/>
    </xf>
    <xf numFmtId="0" fontId="11" fillId="0" borderId="4" xfId="0" applyFont="1" applyBorder="1"/>
    <xf numFmtId="1" fontId="11" fillId="0" borderId="4" xfId="0" applyNumberFormat="1"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3243A"/>
                </a:solidFill>
              </a:defRPr>
            </a:pPr>
            <a:r>
              <a:rPr lang="en-US" sz="1100" b="1" baseline="0">
                <a:solidFill>
                  <a:srgbClr val="13243A"/>
                </a:solidFill>
              </a:rPr>
              <a:t>Churn by contract</a:t>
            </a:r>
          </a:p>
        </c:rich>
      </c:tx>
      <c:layout/>
    </c:title>
    <c:plotArea>
      <c:layout/>
      <c:barChart>
        <c:barDir val="col"/>
        <c:grouping val="stacked"/>
        <c:ser>
          <c:idx val="0"/>
          <c:order val="0"/>
          <c:tx>
            <c:v>Churned</c:v>
          </c:tx>
          <c:spPr>
            <a:solidFill>
              <a:srgbClr val="C2414C"/>
            </a:solidFill>
            <a:ln>
              <a:noFill/>
            </a:ln>
          </c:spPr>
          <c:cat>
            <c:strRef>
              <c:f>'Chart Data'!$A$2:$A$4</c:f>
              <c:strCache>
                <c:ptCount val="3"/>
                <c:pt idx="0">
                  <c:v>Month-to-Month</c:v>
                </c:pt>
                <c:pt idx="1">
                  <c:v>One Year</c:v>
                </c:pt>
                <c:pt idx="2">
                  <c:v>Two Year</c:v>
                </c:pt>
              </c:strCache>
            </c:strRef>
          </c:cat>
          <c:val>
            <c:numRef>
              <c:f>'Chart Data'!$B$2:$B$4</c:f>
              <c:numCache>
                <c:formatCode>General</c:formatCode>
                <c:ptCount val="3"/>
                <c:pt idx="0">
                  <c:v>7</c:v>
                </c:pt>
                <c:pt idx="1">
                  <c:v>0</c:v>
                </c:pt>
                <c:pt idx="2">
                  <c:v>0</c:v>
                </c:pt>
              </c:numCache>
            </c:numRef>
          </c:val>
        </c:ser>
        <c:ser>
          <c:idx val="1"/>
          <c:order val="1"/>
          <c:tx>
            <c:v>Retained</c:v>
          </c:tx>
          <c:spPr>
            <a:solidFill>
              <a:srgbClr val="0F766E"/>
            </a:solidFill>
            <a:ln>
              <a:noFill/>
            </a:ln>
          </c:spPr>
          <c:cat>
            <c:strRef>
              <c:f>'Chart Data'!$A$2:$A$4</c:f>
              <c:strCache>
                <c:ptCount val="3"/>
                <c:pt idx="0">
                  <c:v>Month-to-Month</c:v>
                </c:pt>
                <c:pt idx="1">
                  <c:v>One Year</c:v>
                </c:pt>
                <c:pt idx="2">
                  <c:v>Two Year</c:v>
                </c:pt>
              </c:strCache>
            </c:strRef>
          </c:cat>
          <c:val>
            <c:numRef>
              <c:f>'Chart Data'!$C$2:$C$4</c:f>
              <c:numCache>
                <c:formatCode>General</c:formatCode>
                <c:ptCount val="3"/>
                <c:pt idx="0">
                  <c:v>0</c:v>
                </c:pt>
                <c:pt idx="1">
                  <c:v>4</c:v>
                </c:pt>
                <c:pt idx="2">
                  <c:v>4</c:v>
                </c:pt>
              </c:numCache>
            </c:numRef>
          </c:val>
        </c:ser>
        <c:overlap val="100"/>
        <c:axId val="50010001"/>
        <c:axId val="50010002"/>
      </c:barChart>
      <c:catAx>
        <c:axId val="50010001"/>
        <c:scaling>
          <c:orientation val="minMax"/>
        </c:scaling>
        <c:axPos val="b"/>
        <c:tickLblPos val="nextTo"/>
        <c:txPr>
          <a:bodyPr/>
          <a:lstStyle/>
          <a:p>
            <a:pPr>
              <a:defRPr sz="800" baseline="0">
                <a:solidFill>
                  <a:srgbClr val="52606D"/>
                </a:solidFill>
              </a:defRPr>
            </a:pPr>
            <a:endParaRPr lang="en-US"/>
          </a:p>
        </c:txPr>
        <c:crossAx val="50010002"/>
        <c:crosses val="autoZero"/>
        <c:auto val="1"/>
        <c:lblAlgn val="ctr"/>
        <c:lblOffset val="100"/>
      </c:catAx>
      <c:valAx>
        <c:axId val="50010002"/>
        <c:scaling>
          <c:orientation val="minMax"/>
          <c:min val="0"/>
        </c:scaling>
        <c:axPos val="l"/>
        <c:title>
          <c:tx>
            <c:rich>
              <a:bodyPr/>
              <a:lstStyle/>
              <a:p>
                <a:pPr>
                  <a:defRPr sz="800" baseline="0">
                    <a:solidFill>
                      <a:srgbClr val="52606D"/>
                    </a:solidFill>
                  </a:defRPr>
                </a:pPr>
                <a:r>
                  <a:rPr lang="en-US" sz="800" baseline="0">
                    <a:solidFill>
                      <a:srgbClr val="52606D"/>
                    </a:solidFill>
                  </a:rPr>
                  <a:t>Customers</a:t>
                </a:r>
              </a:p>
            </c:rich>
          </c:tx>
          <c:layout/>
        </c:title>
        <c:numFmt formatCode="General" sourceLinked="1"/>
        <c:tickLblPos val="nextTo"/>
        <c:txPr>
          <a:bodyPr/>
          <a:lstStyle/>
          <a:p>
            <a:pPr>
              <a:defRPr sz="800" baseline="0">
                <a:solidFill>
                  <a:srgbClr val="52606D"/>
                </a:solidFill>
              </a:defRPr>
            </a:pPr>
            <a:endParaRPr lang="en-US"/>
          </a:p>
        </c:txPr>
        <c:crossAx val="50010001"/>
        <c:crosses val="autoZero"/>
        <c:crossBetween val="between"/>
      </c:valAx>
      <c:spPr>
        <a:solidFill>
          <a:srgbClr val="FFFFFF"/>
        </a:solidFill>
        <a:ln>
          <a:noFill/>
        </a:ln>
      </c:spPr>
    </c:plotArea>
    <c:legend>
      <c:legendPos val="b"/>
      <c:layout/>
      <c:txPr>
        <a:bodyPr/>
        <a:lstStyle/>
        <a:p>
          <a:pPr>
            <a:defRPr sz="900" baseline="0">
              <a:solidFill>
                <a:srgbClr val="52606D"/>
              </a:solidFill>
            </a:defRPr>
          </a:pPr>
          <a:endParaRPr lang="en-US"/>
        </a:p>
      </c:txPr>
    </c:legend>
    <c:plotVisOnly val="1"/>
  </c:chart>
  <c:spPr>
    <a:solidFill>
      <a:srgbClr val="FFFFFF"/>
    </a:solidFill>
    <a:ln>
      <a:solidFill>
        <a:srgbClr val="D8E0E8"/>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3243A"/>
                </a:solidFill>
              </a:defRPr>
            </a:pPr>
            <a:r>
              <a:rPr lang="en-US" sz="1100" b="1" baseline="0">
                <a:solidFill>
                  <a:srgbClr val="13243A"/>
                </a:solidFill>
              </a:rPr>
              <a:t>Churn by tenure band</a:t>
            </a:r>
          </a:p>
        </c:rich>
      </c:tx>
      <c:layout/>
    </c:title>
    <c:plotArea>
      <c:layout/>
      <c:barChart>
        <c:barDir val="col"/>
        <c:grouping val="stacked"/>
        <c:ser>
          <c:idx val="0"/>
          <c:order val="0"/>
          <c:tx>
            <c:v>Churned</c:v>
          </c:tx>
          <c:spPr>
            <a:solidFill>
              <a:srgbClr val="C2414C"/>
            </a:solidFill>
            <a:ln>
              <a:noFill/>
            </a:ln>
          </c:spPr>
          <c:cat>
            <c:strRef>
              <c:f>'Chart Data'!$E$2:$E$4</c:f>
              <c:strCache>
                <c:ptCount val="3"/>
                <c:pt idx="0">
                  <c:v>0-12 months</c:v>
                </c:pt>
                <c:pt idx="1">
                  <c:v>13-24 months</c:v>
                </c:pt>
                <c:pt idx="2">
                  <c:v>25+ months</c:v>
                </c:pt>
              </c:strCache>
            </c:strRef>
          </c:cat>
          <c:val>
            <c:numRef>
              <c:f>'Chart Data'!$F$2:$F$4</c:f>
              <c:numCache>
                <c:formatCode>General</c:formatCode>
                <c:ptCount val="3"/>
                <c:pt idx="0">
                  <c:v>6</c:v>
                </c:pt>
                <c:pt idx="1">
                  <c:v>1</c:v>
                </c:pt>
                <c:pt idx="2">
                  <c:v>0</c:v>
                </c:pt>
              </c:numCache>
            </c:numRef>
          </c:val>
        </c:ser>
        <c:ser>
          <c:idx val="1"/>
          <c:order val="1"/>
          <c:tx>
            <c:v>Retained</c:v>
          </c:tx>
          <c:spPr>
            <a:solidFill>
              <a:srgbClr val="0F766E"/>
            </a:solidFill>
            <a:ln>
              <a:noFill/>
            </a:ln>
          </c:spPr>
          <c:cat>
            <c:strRef>
              <c:f>'Chart Data'!$E$2:$E$4</c:f>
              <c:strCache>
                <c:ptCount val="3"/>
                <c:pt idx="0">
                  <c:v>0-12 months</c:v>
                </c:pt>
                <c:pt idx="1">
                  <c:v>13-24 months</c:v>
                </c:pt>
                <c:pt idx="2">
                  <c:v>25+ months</c:v>
                </c:pt>
              </c:strCache>
            </c:strRef>
          </c:cat>
          <c:val>
            <c:numRef>
              <c:f>'Chart Data'!$G$2:$G$4</c:f>
              <c:numCache>
                <c:formatCode>General</c:formatCode>
                <c:ptCount val="3"/>
                <c:pt idx="0">
                  <c:v>0</c:v>
                </c:pt>
                <c:pt idx="1">
                  <c:v>4</c:v>
                </c:pt>
                <c:pt idx="2">
                  <c:v>4</c:v>
                </c:pt>
              </c:numCache>
            </c:numRef>
          </c:val>
        </c:ser>
        <c:overlap val="100"/>
        <c:axId val="50020001"/>
        <c:axId val="50020002"/>
      </c:barChart>
      <c:catAx>
        <c:axId val="50020001"/>
        <c:scaling>
          <c:orientation val="minMax"/>
        </c:scaling>
        <c:axPos val="b"/>
        <c:tickLblPos val="nextTo"/>
        <c:txPr>
          <a:bodyPr/>
          <a:lstStyle/>
          <a:p>
            <a:pPr>
              <a:defRPr sz="800" baseline="0">
                <a:solidFill>
                  <a:srgbClr val="52606D"/>
                </a:solidFill>
              </a:defRPr>
            </a:pPr>
            <a:endParaRPr lang="en-US"/>
          </a:p>
        </c:txPr>
        <c:crossAx val="50020002"/>
        <c:crosses val="autoZero"/>
        <c:auto val="1"/>
        <c:lblAlgn val="ctr"/>
        <c:lblOffset val="100"/>
      </c:catAx>
      <c:valAx>
        <c:axId val="50020002"/>
        <c:scaling>
          <c:orientation val="minMax"/>
          <c:min val="0"/>
        </c:scaling>
        <c:axPos val="l"/>
        <c:title>
          <c:tx>
            <c:rich>
              <a:bodyPr/>
              <a:lstStyle/>
              <a:p>
                <a:pPr>
                  <a:defRPr sz="800" baseline="0">
                    <a:solidFill>
                      <a:srgbClr val="52606D"/>
                    </a:solidFill>
                  </a:defRPr>
                </a:pPr>
                <a:r>
                  <a:rPr lang="en-US" sz="800" baseline="0">
                    <a:solidFill>
                      <a:srgbClr val="52606D"/>
                    </a:solidFill>
                  </a:rPr>
                  <a:t>Customers</a:t>
                </a:r>
              </a:p>
            </c:rich>
          </c:tx>
          <c:layout/>
        </c:title>
        <c:numFmt formatCode="General" sourceLinked="1"/>
        <c:tickLblPos val="nextTo"/>
        <c:txPr>
          <a:bodyPr/>
          <a:lstStyle/>
          <a:p>
            <a:pPr>
              <a:defRPr sz="800" baseline="0">
                <a:solidFill>
                  <a:srgbClr val="52606D"/>
                </a:solidFill>
              </a:defRPr>
            </a:pPr>
            <a:endParaRPr lang="en-US"/>
          </a:p>
        </c:txPr>
        <c:crossAx val="50020001"/>
        <c:crosses val="autoZero"/>
        <c:crossBetween val="between"/>
      </c:valAx>
      <c:spPr>
        <a:solidFill>
          <a:srgbClr val="FFFFFF"/>
        </a:solidFill>
        <a:ln>
          <a:noFill/>
        </a:ln>
      </c:spPr>
    </c:plotArea>
    <c:legend>
      <c:legendPos val="b"/>
      <c:layout/>
      <c:txPr>
        <a:bodyPr/>
        <a:lstStyle/>
        <a:p>
          <a:pPr>
            <a:defRPr sz="900" baseline="0">
              <a:solidFill>
                <a:srgbClr val="52606D"/>
              </a:solidFill>
            </a:defRPr>
          </a:pPr>
          <a:endParaRPr lang="en-US"/>
        </a:p>
      </c:txPr>
    </c:legend>
    <c:plotVisOnly val="1"/>
  </c:chart>
  <c:spPr>
    <a:solidFill>
      <a:srgbClr val="FFFFFF"/>
    </a:solidFill>
    <a:ln>
      <a:solidFill>
        <a:srgbClr val="D8E0E8"/>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3243A"/>
                </a:solidFill>
              </a:defRPr>
            </a:pPr>
            <a:r>
              <a:rPr lang="en-US" sz="1100" b="1" baseline="0">
                <a:solidFill>
                  <a:srgbClr val="13243A"/>
                </a:solidFill>
              </a:rPr>
              <a:t>Churn by payment method</a:t>
            </a:r>
          </a:p>
        </c:rich>
      </c:tx>
      <c:layout/>
    </c:title>
    <c:plotArea>
      <c:layout/>
      <c:barChart>
        <c:barDir val="col"/>
        <c:grouping val="stacked"/>
        <c:ser>
          <c:idx val="0"/>
          <c:order val="0"/>
          <c:tx>
            <c:v>Churned</c:v>
          </c:tx>
          <c:spPr>
            <a:solidFill>
              <a:srgbClr val="C2414C"/>
            </a:solidFill>
            <a:ln>
              <a:noFill/>
            </a:ln>
          </c:spPr>
          <c:cat>
            <c:strRef>
              <c:f>'Chart Data'!$I$2:$I$5</c:f>
              <c:strCache>
                <c:ptCount val="4"/>
                <c:pt idx="0">
                  <c:v>Bank Transfer</c:v>
                </c:pt>
                <c:pt idx="1">
                  <c:v>Credit Card</c:v>
                </c:pt>
                <c:pt idx="2">
                  <c:v>Debit Card</c:v>
                </c:pt>
                <c:pt idx="3">
                  <c:v>UPI</c:v>
                </c:pt>
              </c:strCache>
            </c:strRef>
          </c:cat>
          <c:val>
            <c:numRef>
              <c:f>'Chart Data'!$J$2:$J$5</c:f>
              <c:numCache>
                <c:formatCode>General</c:formatCode>
                <c:ptCount val="4"/>
                <c:pt idx="0">
                  <c:v>0</c:v>
                </c:pt>
                <c:pt idx="1">
                  <c:v>2</c:v>
                </c:pt>
                <c:pt idx="2">
                  <c:v>2</c:v>
                </c:pt>
                <c:pt idx="3">
                  <c:v>3</c:v>
                </c:pt>
              </c:numCache>
            </c:numRef>
          </c:val>
        </c:ser>
        <c:ser>
          <c:idx val="1"/>
          <c:order val="1"/>
          <c:tx>
            <c:v>Retained</c:v>
          </c:tx>
          <c:spPr>
            <a:solidFill>
              <a:srgbClr val="0F766E"/>
            </a:solidFill>
            <a:ln>
              <a:noFill/>
            </a:ln>
          </c:spPr>
          <c:cat>
            <c:strRef>
              <c:f>'Chart Data'!$I$2:$I$5</c:f>
              <c:strCache>
                <c:ptCount val="4"/>
                <c:pt idx="0">
                  <c:v>Bank Transfer</c:v>
                </c:pt>
                <c:pt idx="1">
                  <c:v>Credit Card</c:v>
                </c:pt>
                <c:pt idx="2">
                  <c:v>Debit Card</c:v>
                </c:pt>
                <c:pt idx="3">
                  <c:v>UPI</c:v>
                </c:pt>
              </c:strCache>
            </c:strRef>
          </c:cat>
          <c:val>
            <c:numRef>
              <c:f>'Chart Data'!$K$2:$K$5</c:f>
              <c:numCache>
                <c:formatCode>General</c:formatCode>
                <c:ptCount val="4"/>
                <c:pt idx="0">
                  <c:v>3</c:v>
                </c:pt>
                <c:pt idx="1">
                  <c:v>4</c:v>
                </c:pt>
                <c:pt idx="2">
                  <c:v>0</c:v>
                </c:pt>
                <c:pt idx="3">
                  <c:v>1</c:v>
                </c:pt>
              </c:numCache>
            </c:numRef>
          </c:val>
        </c:ser>
        <c:overlap val="100"/>
        <c:axId val="50030001"/>
        <c:axId val="50030002"/>
      </c:barChart>
      <c:catAx>
        <c:axId val="50030001"/>
        <c:scaling>
          <c:orientation val="minMax"/>
        </c:scaling>
        <c:axPos val="b"/>
        <c:tickLblPos val="nextTo"/>
        <c:txPr>
          <a:bodyPr/>
          <a:lstStyle/>
          <a:p>
            <a:pPr>
              <a:defRPr sz="800" baseline="0">
                <a:solidFill>
                  <a:srgbClr val="52606D"/>
                </a:solidFill>
              </a:defRPr>
            </a:pPr>
            <a:endParaRPr lang="en-US"/>
          </a:p>
        </c:txPr>
        <c:crossAx val="50030002"/>
        <c:crosses val="autoZero"/>
        <c:auto val="1"/>
        <c:lblAlgn val="ctr"/>
        <c:lblOffset val="100"/>
      </c:catAx>
      <c:valAx>
        <c:axId val="50030002"/>
        <c:scaling>
          <c:orientation val="minMax"/>
          <c:min val="0"/>
        </c:scaling>
        <c:axPos val="l"/>
        <c:title>
          <c:tx>
            <c:rich>
              <a:bodyPr/>
              <a:lstStyle/>
              <a:p>
                <a:pPr>
                  <a:defRPr sz="800" baseline="0">
                    <a:solidFill>
                      <a:srgbClr val="52606D"/>
                    </a:solidFill>
                  </a:defRPr>
                </a:pPr>
                <a:r>
                  <a:rPr lang="en-US" sz="800" baseline="0">
                    <a:solidFill>
                      <a:srgbClr val="52606D"/>
                    </a:solidFill>
                  </a:rPr>
                  <a:t>Customers</a:t>
                </a:r>
              </a:p>
            </c:rich>
          </c:tx>
          <c:layout/>
        </c:title>
        <c:numFmt formatCode="General" sourceLinked="1"/>
        <c:tickLblPos val="nextTo"/>
        <c:txPr>
          <a:bodyPr/>
          <a:lstStyle/>
          <a:p>
            <a:pPr>
              <a:defRPr sz="800" baseline="0">
                <a:solidFill>
                  <a:srgbClr val="52606D"/>
                </a:solidFill>
              </a:defRPr>
            </a:pPr>
            <a:endParaRPr lang="en-US"/>
          </a:p>
        </c:txPr>
        <c:crossAx val="50030001"/>
        <c:crosses val="autoZero"/>
        <c:crossBetween val="between"/>
      </c:valAx>
      <c:spPr>
        <a:solidFill>
          <a:srgbClr val="FFFFFF"/>
        </a:solidFill>
        <a:ln>
          <a:noFill/>
        </a:ln>
      </c:spPr>
    </c:plotArea>
    <c:legend>
      <c:legendPos val="b"/>
      <c:layout/>
      <c:txPr>
        <a:bodyPr/>
        <a:lstStyle/>
        <a:p>
          <a:pPr>
            <a:defRPr sz="900" baseline="0">
              <a:solidFill>
                <a:srgbClr val="52606D"/>
              </a:solidFill>
            </a:defRPr>
          </a:pPr>
          <a:endParaRPr lang="en-US"/>
        </a:p>
      </c:txPr>
    </c:legend>
    <c:plotVisOnly val="1"/>
  </c:chart>
  <c:spPr>
    <a:solidFill>
      <a:srgbClr val="FFFFFF"/>
    </a:solidFill>
    <a:ln>
      <a:solidFill>
        <a:srgbClr val="D8E0E8"/>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5</xdr:col>
      <xdr:colOff>838200</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xdr:row>
      <xdr:rowOff>0</xdr:rowOff>
    </xdr:from>
    <xdr:to>
      <xdr:col>11</xdr:col>
      <xdr:colOff>838200</xdr:colOff>
      <xdr:row>22</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0</xdr:rowOff>
    </xdr:from>
    <xdr:to>
      <xdr:col>7</xdr:col>
      <xdr:colOff>19050</xdr:colOff>
      <xdr:row>37</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ChurnData" displayName="ChurnData" ref="A1:L16" totalsRowShown="0">
  <autoFilter ref="A1:L16"/>
  <tableColumns count="12">
    <tableColumn id="1" name="CustomerID"/>
    <tableColumn id="2" name="Gender"/>
    <tableColumn id="3" name="Age"/>
    <tableColumn id="4" name="TenureMonths"/>
    <tableColumn id="5" name="SubscriptionType"/>
    <tableColumn id="6" name="MonthlyCharges"/>
    <tableColumn id="7" name="TotalCharges"/>
    <tableColumn id="8" name="ContractType"/>
    <tableColumn id="9" name="SupportTickets"/>
    <tableColumn id="10" name="PaymentMethod"/>
    <tableColumn id="11" name="Churn"/>
    <tableColumn id="12" name="TenureBan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tabColor rgb="FF13243A"/>
  </sheetPr>
  <dimension ref="A1:N37"/>
  <sheetViews>
    <sheetView showGridLines="0"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7109375" customWidth="1"/>
    <col min="2" max="14" width="14.7109375" customWidth="1"/>
    <col min="15" max="15" width="2.7109375" customWidth="1"/>
  </cols>
  <sheetData>
    <row r="1" spans="2:14" ht="30" customHeight="1">
      <c r="B1" s="1" t="s">
        <v>0</v>
      </c>
      <c r="C1" s="1"/>
      <c r="D1" s="1"/>
      <c r="E1" s="1"/>
      <c r="F1" s="1"/>
      <c r="G1" s="1"/>
      <c r="H1" s="1"/>
      <c r="I1" s="1"/>
      <c r="J1" s="1"/>
      <c r="K1" s="1"/>
      <c r="L1" s="1"/>
      <c r="M1" s="1"/>
      <c r="N1" s="1"/>
    </row>
    <row r="2" spans="2:14" ht="22" customHeight="1">
      <c r="B2" s="2" t="s">
        <v>1</v>
      </c>
      <c r="C2" s="2"/>
      <c r="D2" s="2"/>
      <c r="E2" s="2"/>
      <c r="F2" s="2"/>
      <c r="G2" s="2"/>
      <c r="H2" s="2"/>
      <c r="I2" s="2"/>
      <c r="J2" s="2"/>
      <c r="K2" s="2"/>
      <c r="L2" s="2"/>
      <c r="M2" s="2"/>
      <c r="N2" s="2"/>
    </row>
    <row r="4" spans="2:14">
      <c r="B4" s="3" t="s">
        <v>2</v>
      </c>
      <c r="C4" s="3" t="s">
        <v>3</v>
      </c>
      <c r="E4" s="4" t="s">
        <v>8</v>
      </c>
      <c r="F4" s="4"/>
      <c r="G4" s="4"/>
      <c r="H4" s="4"/>
      <c r="I4" s="4"/>
      <c r="J4" s="4"/>
      <c r="K4" s="4"/>
      <c r="L4" s="4"/>
      <c r="M4" s="4"/>
      <c r="N4" s="4"/>
    </row>
    <row r="5" spans="2:14">
      <c r="B5" s="3" t="s">
        <v>4</v>
      </c>
      <c r="C5" s="5" t="s">
        <v>7</v>
      </c>
      <c r="E5" s="6" t="s">
        <v>9</v>
      </c>
      <c r="F5" s="6"/>
      <c r="G5" s="6" t="s">
        <v>10</v>
      </c>
      <c r="H5" s="6"/>
      <c r="I5" s="6" t="s">
        <v>11</v>
      </c>
      <c r="J5" s="6"/>
      <c r="K5" s="6" t="s">
        <v>12</v>
      </c>
      <c r="L5" s="6"/>
      <c r="M5" s="6" t="s">
        <v>13</v>
      </c>
      <c r="N5" s="6"/>
    </row>
    <row r="6" spans="2:14">
      <c r="B6" s="3" t="s">
        <v>5</v>
      </c>
      <c r="C6" s="5" t="s">
        <v>7</v>
      </c>
      <c r="E6" s="7">
        <f>SUMPRODUCT(--(((Data!$H$2:$H$16=$C$5)+($C$5="All"))&gt;0),--(((Data!$L$2:$L$16=$C$6)+($C$6="All"))&gt;0),--(((Data!$J$2:$J$16=$C$7)+($C$7="All"))&gt;0))</f>
        <v>15</v>
      </c>
      <c r="F6" s="7"/>
      <c r="G6" s="8">
        <f>IFERROR(SUMPRODUCT(--(Data!$K$2:$K$16="Yes"),--(((Data!$H$2:$H$16=$C$5)+($C$5="All"))&gt;0),--(((Data!$L$2:$L$16=$C$6)+($C$6="All"))&gt;0),--(((Data!$J$2:$J$16=$C$7)+($C$7="All"))&gt;0))/E6,0)</f>
        <v>0.4666666666666667</v>
      </c>
      <c r="H6" s="8"/>
      <c r="I6" s="8">
        <f>IFERROR(SUMPRODUCT(--(Data!$K$2:$K$16="No"),--(((Data!$H$2:$H$16=$C$5)+($C$5="All"))&gt;0),--(((Data!$L$2:$L$16=$C$6)+($C$6="All"))&gt;0),--(((Data!$J$2:$J$16=$C$7)+($C$7="All"))&gt;0))/E6,0)</f>
        <v>0.5333333333333333</v>
      </c>
      <c r="J6" s="8"/>
      <c r="K6" s="9">
        <f>SUMPRODUCT(Data!$F$2:$F$16,--(Data!$K$2:$K$16="Yes"),--(((Data!$H$2:$H$16=$C$5)+($C$5="All"))&gt;0),--(((Data!$L$2:$L$16=$C$6)+($C$6="All"))&gt;0),--(((Data!$J$2:$J$16=$C$7)+($C$7="All"))&gt;0))</f>
        <v>409.93</v>
      </c>
      <c r="L6" s="9"/>
      <c r="M6" s="10">
        <f>IFERROR(SUMPRODUCT(Data!$D$2:$D$16,--(((Data!$H$2:$H$16=$C$5)+($C$5="All"))&gt;0),--(((Data!$L$2:$L$16=$C$6)+($C$6="All"))&gt;0),--(((Data!$J$2:$J$16=$C$7)+($C$7="All"))&gt;0))/E6,0)</f>
        <v>18.8</v>
      </c>
      <c r="N6" s="10"/>
    </row>
    <row r="7" spans="2:14">
      <c r="B7" s="3" t="s">
        <v>6</v>
      </c>
      <c r="C7" s="5" t="s">
        <v>7</v>
      </c>
      <c r="E7" s="7"/>
      <c r="F7" s="7"/>
      <c r="G7" s="8"/>
      <c r="H7" s="8"/>
      <c r="I7" s="8"/>
      <c r="J7" s="8"/>
      <c r="K7" s="9"/>
      <c r="L7" s="9"/>
      <c r="M7" s="10"/>
      <c r="N7" s="10"/>
    </row>
    <row r="9" spans="2:14">
      <c r="B9" s="4" t="s">
        <v>14</v>
      </c>
      <c r="C9" s="4"/>
      <c r="D9" s="4"/>
      <c r="E9" s="4"/>
      <c r="F9" s="4"/>
      <c r="G9" s="4"/>
      <c r="H9" s="4"/>
      <c r="I9" s="4"/>
      <c r="J9" s="4"/>
      <c r="K9" s="4"/>
      <c r="L9" s="4"/>
      <c r="M9" s="4"/>
      <c r="N9" s="4"/>
    </row>
    <row r="25" spans="8:14">
      <c r="H25" s="4" t="s">
        <v>27</v>
      </c>
      <c r="I25" s="4"/>
      <c r="J25" s="4"/>
      <c r="K25" s="4"/>
      <c r="L25" s="4"/>
      <c r="M25" s="4"/>
      <c r="N25" s="4"/>
    </row>
    <row r="26" spans="8:14">
      <c r="H26" s="11" t="s">
        <v>28</v>
      </c>
      <c r="I26" s="11"/>
      <c r="J26" s="11"/>
      <c r="K26" s="11"/>
      <c r="L26" s="11"/>
      <c r="M26" s="11"/>
      <c r="N26" s="11"/>
    </row>
    <row r="27" spans="8:14">
      <c r="H27" s="11"/>
      <c r="I27" s="11"/>
      <c r="J27" s="11"/>
      <c r="K27" s="11"/>
      <c r="L27" s="11"/>
      <c r="M27" s="11"/>
      <c r="N27" s="11"/>
    </row>
    <row r="28" spans="8:14">
      <c r="H28" s="11"/>
      <c r="I28" s="11"/>
      <c r="J28" s="11"/>
      <c r="K28" s="11"/>
      <c r="L28" s="11"/>
      <c r="M28" s="11"/>
      <c r="N28" s="11"/>
    </row>
    <row r="29" spans="8:14">
      <c r="H29" s="11"/>
      <c r="I29" s="11"/>
      <c r="J29" s="11"/>
      <c r="K29" s="11"/>
      <c r="L29" s="11"/>
      <c r="M29" s="11"/>
      <c r="N29" s="11"/>
    </row>
    <row r="30" spans="8:14">
      <c r="H30" s="11"/>
      <c r="I30" s="11"/>
      <c r="J30" s="11"/>
      <c r="K30" s="11"/>
      <c r="L30" s="11"/>
      <c r="M30" s="11"/>
      <c r="N30" s="11"/>
    </row>
    <row r="31" spans="8:14">
      <c r="H31" s="11"/>
      <c r="I31" s="11"/>
      <c r="J31" s="11"/>
      <c r="K31" s="11"/>
      <c r="L31" s="11"/>
      <c r="M31" s="11"/>
      <c r="N31" s="11"/>
    </row>
    <row r="33" spans="8:14">
      <c r="H33" s="4" t="s">
        <v>29</v>
      </c>
      <c r="I33" s="4"/>
      <c r="J33" s="4"/>
      <c r="K33" s="4"/>
      <c r="L33" s="4"/>
      <c r="M33" s="4"/>
      <c r="N33" s="4"/>
    </row>
    <row r="34" spans="8:14">
      <c r="H34" s="11" t="s">
        <v>30</v>
      </c>
      <c r="I34" s="11"/>
      <c r="J34" s="11"/>
      <c r="K34" s="11"/>
      <c r="L34" s="11"/>
      <c r="M34" s="11"/>
      <c r="N34" s="11"/>
    </row>
    <row r="35" spans="8:14">
      <c r="H35" s="11"/>
      <c r="I35" s="11"/>
      <c r="J35" s="11"/>
      <c r="K35" s="11"/>
      <c r="L35" s="11"/>
      <c r="M35" s="11"/>
      <c r="N35" s="11"/>
    </row>
    <row r="36" spans="8:14">
      <c r="H36" s="11"/>
      <c r="I36" s="11"/>
      <c r="J36" s="11"/>
      <c r="K36" s="11"/>
      <c r="L36" s="11"/>
      <c r="M36" s="11"/>
      <c r="N36" s="11"/>
    </row>
    <row r="37" spans="8:14">
      <c r="H37" s="11"/>
      <c r="I37" s="11"/>
      <c r="J37" s="11"/>
      <c r="K37" s="11"/>
      <c r="L37" s="11"/>
      <c r="M37" s="11"/>
      <c r="N37" s="11"/>
    </row>
  </sheetData>
  <mergeCells count="18">
    <mergeCell ref="B1:N1"/>
    <mergeCell ref="B2:N2"/>
    <mergeCell ref="E4:N4"/>
    <mergeCell ref="E5:F5"/>
    <mergeCell ref="G5:H5"/>
    <mergeCell ref="I5:J5"/>
    <mergeCell ref="K5:L5"/>
    <mergeCell ref="M5:N5"/>
    <mergeCell ref="E6:F7"/>
    <mergeCell ref="G6:H7"/>
    <mergeCell ref="I6:J7"/>
    <mergeCell ref="K6:L7"/>
    <mergeCell ref="M6:N7"/>
    <mergeCell ref="B9:N9"/>
    <mergeCell ref="H25:N25"/>
    <mergeCell ref="H26:N31"/>
    <mergeCell ref="H33:N33"/>
    <mergeCell ref="H34:N37"/>
  </mergeCells>
  <dataValidations count="3">
    <dataValidation type="list" allowBlank="1" showInputMessage="1" showErrorMessage="1" sqref="C5">
      <formula1>"All,Month-to-Month,One Year,Two Year"</formula1>
    </dataValidation>
    <dataValidation type="list" allowBlank="1" showInputMessage="1" showErrorMessage="1" sqref="C6">
      <formula1>"All,0-12 months,13-24 months,25+ months"</formula1>
    </dataValidation>
    <dataValidation type="list" allowBlank="1" showInputMessage="1" showErrorMessage="1" sqref="C7">
      <formula1>"All,Bank Transfer,Credit Card,Debit Card,UPI"</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sheetPr>
    <tabColor rgb="FF1F5FAA"/>
  </sheetPr>
  <dimension ref="A1:L16"/>
  <sheetViews>
    <sheetView showGridLines="0" workbookViewId="0">
      <pane ySplit="1" topLeftCell="A2" activePane="bottomLeft" state="frozen"/>
      <selection pane="bottomLeft"/>
    </sheetView>
  </sheetViews>
  <sheetFormatPr defaultRowHeight="15"/>
  <cols>
    <col min="1" max="1" width="14.7109375" customWidth="1"/>
    <col min="2" max="2" width="11.7109375" customWidth="1"/>
    <col min="3" max="4" width="13.7109375" customWidth="1"/>
    <col min="5" max="5" width="17.7109375" customWidth="1"/>
    <col min="6" max="7" width="16.7109375" customWidth="1"/>
    <col min="8" max="8" width="18.7109375" customWidth="1"/>
    <col min="9" max="9" width="15.7109375" customWidth="1"/>
    <col min="10" max="10" width="17.7109375" customWidth="1"/>
    <col min="11" max="12" width="14.7109375" customWidth="1"/>
  </cols>
  <sheetData>
    <row r="1" spans="1:12">
      <c r="A1" t="s">
        <v>31</v>
      </c>
      <c r="B1" t="s">
        <v>32</v>
      </c>
      <c r="C1" t="s">
        <v>33</v>
      </c>
      <c r="D1" t="s">
        <v>34</v>
      </c>
      <c r="E1" t="s">
        <v>35</v>
      </c>
      <c r="F1" t="s">
        <v>36</v>
      </c>
      <c r="G1" t="s">
        <v>37</v>
      </c>
      <c r="H1" t="s">
        <v>38</v>
      </c>
      <c r="I1" t="s">
        <v>39</v>
      </c>
      <c r="J1" t="s">
        <v>40</v>
      </c>
      <c r="K1" t="s">
        <v>41</v>
      </c>
      <c r="L1" t="s">
        <v>42</v>
      </c>
    </row>
    <row r="2" spans="1:12">
      <c r="A2" t="s">
        <v>43</v>
      </c>
      <c r="B2" t="s">
        <v>44</v>
      </c>
      <c r="C2" s="12">
        <v>34</v>
      </c>
      <c r="D2" s="12">
        <v>12</v>
      </c>
      <c r="E2" t="s">
        <v>45</v>
      </c>
      <c r="F2" s="13">
        <v>49.99</v>
      </c>
      <c r="G2" s="13">
        <v>599.88</v>
      </c>
      <c r="H2" t="s">
        <v>17</v>
      </c>
      <c r="I2" s="12">
        <v>3</v>
      </c>
      <c r="J2" t="s">
        <v>24</v>
      </c>
      <c r="K2" t="s">
        <v>46</v>
      </c>
      <c r="L2" t="s">
        <v>20</v>
      </c>
    </row>
    <row r="3" spans="1:12">
      <c r="A3" t="s">
        <v>47</v>
      </c>
      <c r="B3" t="s">
        <v>48</v>
      </c>
      <c r="C3" s="12">
        <v>45</v>
      </c>
      <c r="D3" s="12">
        <v>24</v>
      </c>
      <c r="E3" t="s">
        <v>49</v>
      </c>
      <c r="F3" s="13">
        <v>79.98999999999999</v>
      </c>
      <c r="G3" s="13">
        <v>1919.76</v>
      </c>
      <c r="H3" t="s">
        <v>18</v>
      </c>
      <c r="I3" s="12">
        <v>1</v>
      </c>
      <c r="J3" t="s">
        <v>23</v>
      </c>
      <c r="K3" t="s">
        <v>50</v>
      </c>
      <c r="L3" t="s">
        <v>21</v>
      </c>
    </row>
    <row r="4" spans="1:12">
      <c r="A4" t="s">
        <v>51</v>
      </c>
      <c r="B4" t="s">
        <v>44</v>
      </c>
      <c r="C4" s="12">
        <v>29</v>
      </c>
      <c r="D4" s="12">
        <v>6</v>
      </c>
      <c r="E4" t="s">
        <v>45</v>
      </c>
      <c r="F4" s="13">
        <v>49.99</v>
      </c>
      <c r="G4" s="13">
        <v>299.94</v>
      </c>
      <c r="H4" t="s">
        <v>17</v>
      </c>
      <c r="I4" s="12">
        <v>5</v>
      </c>
      <c r="J4" t="s">
        <v>26</v>
      </c>
      <c r="K4" t="s">
        <v>46</v>
      </c>
      <c r="L4" t="s">
        <v>20</v>
      </c>
    </row>
    <row r="5" spans="1:12">
      <c r="A5" t="s">
        <v>52</v>
      </c>
      <c r="B5" t="s">
        <v>48</v>
      </c>
      <c r="C5" s="12">
        <v>52</v>
      </c>
      <c r="D5" s="12">
        <v>36</v>
      </c>
      <c r="E5" t="s">
        <v>53</v>
      </c>
      <c r="F5" s="13">
        <v>149.99</v>
      </c>
      <c r="G5" s="13">
        <v>5399.64</v>
      </c>
      <c r="H5" t="s">
        <v>19</v>
      </c>
      <c r="I5" s="12">
        <v>0</v>
      </c>
      <c r="J5" t="s">
        <v>24</v>
      </c>
      <c r="K5" t="s">
        <v>50</v>
      </c>
      <c r="L5" t="s">
        <v>22</v>
      </c>
    </row>
    <row r="6" spans="1:12">
      <c r="A6" t="s">
        <v>54</v>
      </c>
      <c r="B6" t="s">
        <v>44</v>
      </c>
      <c r="C6" s="12">
        <v>41</v>
      </c>
      <c r="D6" s="12">
        <v>8</v>
      </c>
      <c r="E6" t="s">
        <v>49</v>
      </c>
      <c r="F6" s="13">
        <v>79.98999999999999</v>
      </c>
      <c r="G6" s="13">
        <v>639.92</v>
      </c>
      <c r="H6" t="s">
        <v>17</v>
      </c>
      <c r="I6" s="12">
        <v>4</v>
      </c>
      <c r="J6" t="s">
        <v>25</v>
      </c>
      <c r="K6" t="s">
        <v>46</v>
      </c>
      <c r="L6" t="s">
        <v>20</v>
      </c>
    </row>
    <row r="7" spans="1:12">
      <c r="A7" t="s">
        <v>55</v>
      </c>
      <c r="B7" t="s">
        <v>48</v>
      </c>
      <c r="C7" s="12">
        <v>31</v>
      </c>
      <c r="D7" s="12">
        <v>18</v>
      </c>
      <c r="E7" t="s">
        <v>45</v>
      </c>
      <c r="F7" s="13">
        <v>49.99</v>
      </c>
      <c r="G7" s="13">
        <v>899.8200000000001</v>
      </c>
      <c r="H7" t="s">
        <v>18</v>
      </c>
      <c r="I7" s="12">
        <v>2</v>
      </c>
      <c r="J7" t="s">
        <v>26</v>
      </c>
      <c r="K7" t="s">
        <v>50</v>
      </c>
      <c r="L7" t="s">
        <v>21</v>
      </c>
    </row>
    <row r="8" spans="1:12">
      <c r="A8" t="s">
        <v>56</v>
      </c>
      <c r="B8" t="s">
        <v>44</v>
      </c>
      <c r="C8" s="12">
        <v>23</v>
      </c>
      <c r="D8" s="12">
        <v>3</v>
      </c>
      <c r="E8" t="s">
        <v>45</v>
      </c>
      <c r="F8" s="13">
        <v>49.99</v>
      </c>
      <c r="G8" s="13">
        <v>149.97</v>
      </c>
      <c r="H8" t="s">
        <v>17</v>
      </c>
      <c r="I8" s="12">
        <v>6</v>
      </c>
      <c r="J8" t="s">
        <v>24</v>
      </c>
      <c r="K8" t="s">
        <v>46</v>
      </c>
      <c r="L8" t="s">
        <v>20</v>
      </c>
    </row>
    <row r="9" spans="1:12">
      <c r="A9" t="s">
        <v>57</v>
      </c>
      <c r="B9" t="s">
        <v>48</v>
      </c>
      <c r="C9" s="12">
        <v>60</v>
      </c>
      <c r="D9" s="12">
        <v>48</v>
      </c>
      <c r="E9" t="s">
        <v>53</v>
      </c>
      <c r="F9" s="13">
        <v>149.99</v>
      </c>
      <c r="G9" s="13">
        <v>7199.52</v>
      </c>
      <c r="H9" t="s">
        <v>19</v>
      </c>
      <c r="I9" s="12">
        <v>1</v>
      </c>
      <c r="J9" t="s">
        <v>23</v>
      </c>
      <c r="K9" t="s">
        <v>50</v>
      </c>
      <c r="L9" t="s">
        <v>22</v>
      </c>
    </row>
    <row r="10" spans="1:12">
      <c r="A10" t="s">
        <v>58</v>
      </c>
      <c r="B10" t="s">
        <v>44</v>
      </c>
      <c r="C10" s="12">
        <v>38</v>
      </c>
      <c r="D10" s="12">
        <v>15</v>
      </c>
      <c r="E10" t="s">
        <v>49</v>
      </c>
      <c r="F10" s="13">
        <v>79.98999999999999</v>
      </c>
      <c r="G10" s="13">
        <v>1199.85</v>
      </c>
      <c r="H10" t="s">
        <v>18</v>
      </c>
      <c r="I10" s="12">
        <v>2</v>
      </c>
      <c r="J10" t="s">
        <v>24</v>
      </c>
      <c r="K10" t="s">
        <v>50</v>
      </c>
      <c r="L10" t="s">
        <v>21</v>
      </c>
    </row>
    <row r="11" spans="1:12">
      <c r="A11" t="s">
        <v>59</v>
      </c>
      <c r="B11" t="s">
        <v>48</v>
      </c>
      <c r="C11" s="12">
        <v>27</v>
      </c>
      <c r="D11" s="12">
        <v>4</v>
      </c>
      <c r="E11" t="s">
        <v>45</v>
      </c>
      <c r="F11" s="13">
        <v>49.99</v>
      </c>
      <c r="G11" s="13">
        <v>199.96</v>
      </c>
      <c r="H11" t="s">
        <v>17</v>
      </c>
      <c r="I11" s="12">
        <v>4</v>
      </c>
      <c r="J11" t="s">
        <v>26</v>
      </c>
      <c r="K11" t="s">
        <v>46</v>
      </c>
      <c r="L11" t="s">
        <v>20</v>
      </c>
    </row>
    <row r="12" spans="1:12">
      <c r="A12" t="s">
        <v>60</v>
      </c>
      <c r="B12" t="s">
        <v>44</v>
      </c>
      <c r="C12" s="12">
        <v>49</v>
      </c>
      <c r="D12" s="12">
        <v>30</v>
      </c>
      <c r="E12" t="s">
        <v>53</v>
      </c>
      <c r="F12" s="13">
        <v>149.99</v>
      </c>
      <c r="G12" s="13">
        <v>4499.7</v>
      </c>
      <c r="H12" t="s">
        <v>19</v>
      </c>
      <c r="I12" s="12">
        <v>0</v>
      </c>
      <c r="J12" t="s">
        <v>24</v>
      </c>
      <c r="K12" t="s">
        <v>50</v>
      </c>
      <c r="L12" t="s">
        <v>22</v>
      </c>
    </row>
    <row r="13" spans="1:12">
      <c r="A13" t="s">
        <v>61</v>
      </c>
      <c r="B13" t="s">
        <v>48</v>
      </c>
      <c r="C13" s="12">
        <v>33</v>
      </c>
      <c r="D13" s="12">
        <v>14</v>
      </c>
      <c r="E13" t="s">
        <v>49</v>
      </c>
      <c r="F13" s="13">
        <v>79.98999999999999</v>
      </c>
      <c r="G13" s="13">
        <v>1119.86</v>
      </c>
      <c r="H13" t="s">
        <v>17</v>
      </c>
      <c r="I13" s="12">
        <v>3</v>
      </c>
      <c r="J13" t="s">
        <v>25</v>
      </c>
      <c r="K13" t="s">
        <v>46</v>
      </c>
      <c r="L13" t="s">
        <v>21</v>
      </c>
    </row>
    <row r="14" spans="1:12">
      <c r="A14" t="s">
        <v>62</v>
      </c>
      <c r="B14" t="s">
        <v>44</v>
      </c>
      <c r="C14" s="12">
        <v>55</v>
      </c>
      <c r="D14" s="12">
        <v>22</v>
      </c>
      <c r="E14" t="s">
        <v>45</v>
      </c>
      <c r="F14" s="13">
        <v>49.99</v>
      </c>
      <c r="G14" s="13">
        <v>1099.78</v>
      </c>
      <c r="H14" t="s">
        <v>18</v>
      </c>
      <c r="I14" s="12">
        <v>1</v>
      </c>
      <c r="J14" t="s">
        <v>23</v>
      </c>
      <c r="K14" t="s">
        <v>50</v>
      </c>
      <c r="L14" t="s">
        <v>21</v>
      </c>
    </row>
    <row r="15" spans="1:12">
      <c r="A15" t="s">
        <v>63</v>
      </c>
      <c r="B15" t="s">
        <v>48</v>
      </c>
      <c r="C15" s="12">
        <v>26</v>
      </c>
      <c r="D15" s="12">
        <v>2</v>
      </c>
      <c r="E15" t="s">
        <v>45</v>
      </c>
      <c r="F15" s="13">
        <v>49.99</v>
      </c>
      <c r="G15" s="13">
        <v>99.98</v>
      </c>
      <c r="H15" t="s">
        <v>17</v>
      </c>
      <c r="I15" s="12">
        <v>5</v>
      </c>
      <c r="J15" t="s">
        <v>26</v>
      </c>
      <c r="K15" t="s">
        <v>46</v>
      </c>
      <c r="L15" t="s">
        <v>20</v>
      </c>
    </row>
    <row r="16" spans="1:12">
      <c r="A16" t="s">
        <v>64</v>
      </c>
      <c r="B16" t="s">
        <v>44</v>
      </c>
      <c r="C16" s="12">
        <v>43</v>
      </c>
      <c r="D16" s="12">
        <v>40</v>
      </c>
      <c r="E16" t="s">
        <v>53</v>
      </c>
      <c r="F16" s="13">
        <v>149.99</v>
      </c>
      <c r="G16" s="13">
        <v>5999.6</v>
      </c>
      <c r="H16" t="s">
        <v>19</v>
      </c>
      <c r="I16" s="12">
        <v>1</v>
      </c>
      <c r="J16" t="s">
        <v>24</v>
      </c>
      <c r="K16" t="s">
        <v>50</v>
      </c>
      <c r="L16"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sheetPr>
    <tabColor rgb="FF0F766E"/>
  </sheetPr>
  <dimension ref="A1:B12"/>
  <sheetViews>
    <sheetView showGridLines="0" workbookViewId="0">
      <pane ySplit="2" topLeftCell="A3" activePane="bottomLeft" state="frozen"/>
      <selection pane="bottomLeft"/>
    </sheetView>
  </sheetViews>
  <sheetFormatPr defaultRowHeight="15"/>
  <cols>
    <col min="1" max="1" width="25.7109375" customWidth="1"/>
    <col min="2" max="2" width="80.7109375" customWidth="1"/>
  </cols>
  <sheetData>
    <row r="1" spans="1:2">
      <c r="A1" s="1" t="s">
        <v>65</v>
      </c>
      <c r="B1" s="1"/>
    </row>
    <row r="3" spans="1:2">
      <c r="A3" s="14" t="s">
        <v>66</v>
      </c>
      <c r="B3" s="14" t="s">
        <v>67</v>
      </c>
    </row>
    <row r="4" spans="1:2" ht="38" customHeight="1">
      <c r="A4" s="15" t="s">
        <v>10</v>
      </c>
      <c r="B4" s="15" t="s">
        <v>68</v>
      </c>
    </row>
    <row r="5" spans="1:2" ht="38" customHeight="1">
      <c r="A5" s="15" t="s">
        <v>11</v>
      </c>
      <c r="B5" s="15" t="s">
        <v>69</v>
      </c>
    </row>
    <row r="6" spans="1:2" ht="38" customHeight="1">
      <c r="A6" s="15" t="s">
        <v>12</v>
      </c>
      <c r="B6" s="15" t="s">
        <v>70</v>
      </c>
    </row>
    <row r="7" spans="1:2" ht="38" customHeight="1">
      <c r="A7" s="15" t="s">
        <v>13</v>
      </c>
      <c r="B7" s="15" t="s">
        <v>71</v>
      </c>
    </row>
    <row r="8" spans="1:2" ht="38" customHeight="1">
      <c r="A8" s="15" t="s">
        <v>72</v>
      </c>
      <c r="B8" s="15" t="s">
        <v>73</v>
      </c>
    </row>
    <row r="9" spans="1:2" ht="38" customHeight="1">
      <c r="A9" s="15" t="s">
        <v>74</v>
      </c>
      <c r="B9" s="15" t="s">
        <v>75</v>
      </c>
    </row>
    <row r="10" spans="1:2" ht="38" customHeight="1">
      <c r="A10" s="15" t="s">
        <v>76</v>
      </c>
      <c r="B10" s="15" t="s">
        <v>77</v>
      </c>
    </row>
    <row r="12" spans="1:2">
      <c r="A12" s="16" t="s">
        <v>78</v>
      </c>
      <c r="B12" s="11" t="s">
        <v>79</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5"/>
  <sheetViews>
    <sheetView workbookViewId="0"/>
  </sheetViews>
  <sheetFormatPr defaultRowHeight="15"/>
  <sheetData>
    <row r="1" spans="1:11">
      <c r="A1" s="17" t="s">
        <v>4</v>
      </c>
      <c r="B1" s="17" t="s">
        <v>15</v>
      </c>
      <c r="C1" s="17" t="s">
        <v>16</v>
      </c>
      <c r="E1" s="17" t="s">
        <v>5</v>
      </c>
      <c r="F1" s="17" t="s">
        <v>15</v>
      </c>
      <c r="G1" s="17" t="s">
        <v>16</v>
      </c>
      <c r="I1" s="17" t="s">
        <v>6</v>
      </c>
      <c r="J1" s="17" t="s">
        <v>15</v>
      </c>
      <c r="K1" s="17" t="s">
        <v>16</v>
      </c>
    </row>
    <row r="2" spans="1:11">
      <c r="A2" s="18" t="s">
        <v>17</v>
      </c>
      <c r="B2" s="19">
        <f>SUMPRODUCT(--(Data!$K$2:$K$16="Yes"),--(Data!$H$2:$H$16=A2),--(((Data!$L$2:$L$16=Dashboard!$C$6)+(Dashboard!$C$6="All"))&gt;0),--(((Data!$J$2:$J$16=Dashboard!$C$7)+(Dashboard!$C$7="All"))&gt;0))</f>
        <v>7</v>
      </c>
      <c r="C2" s="19">
        <f>SUMPRODUCT(--(Data!$K$2:$K$16="No"),--(Data!$H$2:$H$16=A2),--(((Data!$L$2:$L$16=Dashboard!$C$6)+(Dashboard!$C$6="All"))&gt;0),--(((Data!$J$2:$J$16=Dashboard!$C$7)+(Dashboard!$C$7="All"))&gt;0))</f>
        <v>0</v>
      </c>
      <c r="E2" s="18" t="s">
        <v>20</v>
      </c>
      <c r="F2" s="19">
        <f>SUMPRODUCT(--(Data!$K$2:$K$16="Yes"),--(Data!$L$2:$L$16=E2),--(((Data!$H$2:$H$16=Dashboard!$C$5)+(Dashboard!$C$5="All"))&gt;0),--(((Data!$J$2:$J$16=Dashboard!$C$7)+(Dashboard!$C$7="All"))&gt;0))</f>
        <v>6</v>
      </c>
      <c r="G2" s="19">
        <f>SUMPRODUCT(--(Data!$K$2:$K$16="No"),--(Data!$L$2:$L$16=E2),--(((Data!$H$2:$H$16=Dashboard!$C$5)+(Dashboard!$C$5="All"))&gt;0),--(((Data!$J$2:$J$16=Dashboard!$C$7)+(Dashboard!$C$7="All"))&gt;0))</f>
        <v>0</v>
      </c>
      <c r="I2" s="18" t="s">
        <v>23</v>
      </c>
      <c r="J2" s="19">
        <f>SUMPRODUCT(--(Data!$K$2:$K$16="Yes"),--(Data!$J$2:$J$16=I2),--(((Data!$H$2:$H$16=Dashboard!$C$5)+(Dashboard!$C$5="All"))&gt;0),--(((Data!$L$2:$L$16=Dashboard!$C$6)+(Dashboard!$C$6="All"))&gt;0))</f>
        <v>0</v>
      </c>
      <c r="K2" s="19">
        <f>SUMPRODUCT(--(Data!$K$2:$K$16="No"),--(Data!$J$2:$J$16=I2),--(((Data!$H$2:$H$16=Dashboard!$C$5)+(Dashboard!$C$5="All"))&gt;0),--(((Data!$L$2:$L$16=Dashboard!$C$6)+(Dashboard!$C$6="All"))&gt;0))</f>
        <v>3</v>
      </c>
    </row>
    <row r="3" spans="1:11">
      <c r="A3" s="18" t="s">
        <v>18</v>
      </c>
      <c r="B3" s="19">
        <f>SUMPRODUCT(--(Data!$K$2:$K$16="Yes"),--(Data!$H$2:$H$16=A3),--(((Data!$L$2:$L$16=Dashboard!$C$6)+(Dashboard!$C$6="All"))&gt;0),--(((Data!$J$2:$J$16=Dashboard!$C$7)+(Dashboard!$C$7="All"))&gt;0))</f>
        <v>0</v>
      </c>
      <c r="C3" s="19">
        <f>SUMPRODUCT(--(Data!$K$2:$K$16="No"),--(Data!$H$2:$H$16=A3),--(((Data!$L$2:$L$16=Dashboard!$C$6)+(Dashboard!$C$6="All"))&gt;0),--(((Data!$J$2:$J$16=Dashboard!$C$7)+(Dashboard!$C$7="All"))&gt;0))</f>
        <v>4</v>
      </c>
      <c r="E3" s="18" t="s">
        <v>21</v>
      </c>
      <c r="F3" s="19">
        <f>SUMPRODUCT(--(Data!$K$2:$K$16="Yes"),--(Data!$L$2:$L$16=E3),--(((Data!$H$2:$H$16=Dashboard!$C$5)+(Dashboard!$C$5="All"))&gt;0),--(((Data!$J$2:$J$16=Dashboard!$C$7)+(Dashboard!$C$7="All"))&gt;0))</f>
        <v>1</v>
      </c>
      <c r="G3" s="19">
        <f>SUMPRODUCT(--(Data!$K$2:$K$16="No"),--(Data!$L$2:$L$16=E3),--(((Data!$H$2:$H$16=Dashboard!$C$5)+(Dashboard!$C$5="All"))&gt;0),--(((Data!$J$2:$J$16=Dashboard!$C$7)+(Dashboard!$C$7="All"))&gt;0))</f>
        <v>4</v>
      </c>
      <c r="I3" s="18" t="s">
        <v>24</v>
      </c>
      <c r="J3" s="19">
        <f>SUMPRODUCT(--(Data!$K$2:$K$16="Yes"),--(Data!$J$2:$J$16=I3),--(((Data!$H$2:$H$16=Dashboard!$C$5)+(Dashboard!$C$5="All"))&gt;0),--(((Data!$L$2:$L$16=Dashboard!$C$6)+(Dashboard!$C$6="All"))&gt;0))</f>
        <v>2</v>
      </c>
      <c r="K3" s="19">
        <f>SUMPRODUCT(--(Data!$K$2:$K$16="No"),--(Data!$J$2:$J$16=I3),--(((Data!$H$2:$H$16=Dashboard!$C$5)+(Dashboard!$C$5="All"))&gt;0),--(((Data!$L$2:$L$16=Dashboard!$C$6)+(Dashboard!$C$6="All"))&gt;0))</f>
        <v>4</v>
      </c>
    </row>
    <row r="4" spans="1:11">
      <c r="A4" s="18" t="s">
        <v>19</v>
      </c>
      <c r="B4" s="19">
        <f>SUMPRODUCT(--(Data!$K$2:$K$16="Yes"),--(Data!$H$2:$H$16=A4),--(((Data!$L$2:$L$16=Dashboard!$C$6)+(Dashboard!$C$6="All"))&gt;0),--(((Data!$J$2:$J$16=Dashboard!$C$7)+(Dashboard!$C$7="All"))&gt;0))</f>
        <v>0</v>
      </c>
      <c r="C4" s="19">
        <f>SUMPRODUCT(--(Data!$K$2:$K$16="No"),--(Data!$H$2:$H$16=A4),--(((Data!$L$2:$L$16=Dashboard!$C$6)+(Dashboard!$C$6="All"))&gt;0),--(((Data!$J$2:$J$16=Dashboard!$C$7)+(Dashboard!$C$7="All"))&gt;0))</f>
        <v>4</v>
      </c>
      <c r="E4" s="18" t="s">
        <v>22</v>
      </c>
      <c r="F4" s="19">
        <f>SUMPRODUCT(--(Data!$K$2:$K$16="Yes"),--(Data!$L$2:$L$16=E4),--(((Data!$H$2:$H$16=Dashboard!$C$5)+(Dashboard!$C$5="All"))&gt;0),--(((Data!$J$2:$J$16=Dashboard!$C$7)+(Dashboard!$C$7="All"))&gt;0))</f>
        <v>0</v>
      </c>
      <c r="G4" s="19">
        <f>SUMPRODUCT(--(Data!$K$2:$K$16="No"),--(Data!$L$2:$L$16=E4),--(((Data!$H$2:$H$16=Dashboard!$C$5)+(Dashboard!$C$5="All"))&gt;0),--(((Data!$J$2:$J$16=Dashboard!$C$7)+(Dashboard!$C$7="All"))&gt;0))</f>
        <v>4</v>
      </c>
      <c r="I4" s="18" t="s">
        <v>25</v>
      </c>
      <c r="J4" s="19">
        <f>SUMPRODUCT(--(Data!$K$2:$K$16="Yes"),--(Data!$J$2:$J$16=I4),--(((Data!$H$2:$H$16=Dashboard!$C$5)+(Dashboard!$C$5="All"))&gt;0),--(((Data!$L$2:$L$16=Dashboard!$C$6)+(Dashboard!$C$6="All"))&gt;0))</f>
        <v>2</v>
      </c>
      <c r="K4" s="19">
        <f>SUMPRODUCT(--(Data!$K$2:$K$16="No"),--(Data!$J$2:$J$16=I4),--(((Data!$H$2:$H$16=Dashboard!$C$5)+(Dashboard!$C$5="All"))&gt;0),--(((Data!$L$2:$L$16=Dashboard!$C$6)+(Dashboard!$C$6="All"))&gt;0))</f>
        <v>0</v>
      </c>
    </row>
    <row r="5" spans="1:11">
      <c r="I5" s="18" t="s">
        <v>26</v>
      </c>
      <c r="J5" s="19">
        <f>SUMPRODUCT(--(Data!$K$2:$K$16="Yes"),--(Data!$J$2:$J$16=I5),--(((Data!$H$2:$H$16=Dashboard!$C$5)+(Dashboard!$C$5="All"))&gt;0),--(((Data!$L$2:$L$16=Dashboard!$C$6)+(Dashboard!$C$6="All"))&gt;0))</f>
        <v>3</v>
      </c>
      <c r="K5" s="19">
        <f>SUMPRODUCT(--(Data!$K$2:$K$16="No"),--(Data!$J$2:$J$16=I5),--(((Data!$H$2:$H$16=Dashboard!$C$5)+(Dashboard!$C$5="All"))&gt;0),--(((Data!$L$2:$L$16=Dashboard!$C$6)+(Dashboard!$C$6="All"))&gt;0))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Metric Definitions</vt:lpstr>
      <vt:lpstr>Chart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Customer Churn KPI Dashboard</dc:title>
  <dc:subject>Business KPI Dashboard – customer churn</dc:subject>
  <dc:creator>Data analysis project</dc:creator>
  <dc:description>Metrics calculated from the supplied 15-record cleaned customer churn dataset.</dc:description>
  <cp:lastModifiedBy>Data analysis project</cp:lastModifiedBy>
  <dcterms:created xsi:type="dcterms:W3CDTF">2026-10-26T09:19:59Z</dcterms:created>
  <dcterms:modified xsi:type="dcterms:W3CDTF">2026-10-26T09:19:59Z</dcterms:modified>
</cp:coreProperties>
</file>